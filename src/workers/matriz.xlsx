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botero\Documents\prueba\test\"/>
    </mc:Choice>
  </mc:AlternateContent>
  <xr:revisionPtr revIDLastSave="0" documentId="8_{B80AE292-C895-4F5C-9BA2-E3E26283AE93}" xr6:coauthVersionLast="47" xr6:coauthVersionMax="47" xr10:uidLastSave="{00000000-0000-0000-0000-000000000000}"/>
  <bookViews>
    <workbookView xWindow="-120" yWindow="-120" windowWidth="29040" windowHeight="15720" activeTab="2" xr2:uid="{E5E4C0B9-8A6A-4BA3-BF9B-DE50D4239FAC}"/>
  </bookViews>
  <sheets>
    <sheet name="oferta full" sheetId="1" r:id="rId1"/>
    <sheet name="reventa" sheetId="2" r:id="rId2"/>
    <sheet name="matriz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2" l="1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4" i="2"/>
  <c r="C13" i="2"/>
  <c r="C12" i="2"/>
  <c r="C11" i="2"/>
  <c r="C10" i="2"/>
  <c r="C9" i="2"/>
  <c r="C8" i="2"/>
  <c r="C7" i="2"/>
  <c r="C6" i="2"/>
  <c r="C5" i="2"/>
  <c r="C4" i="2"/>
  <c r="C3" i="2"/>
  <c r="D3" i="1"/>
  <c r="D2" i="1"/>
</calcChain>
</file>

<file path=xl/sharedStrings.xml><?xml version="1.0" encoding="utf-8"?>
<sst xmlns="http://schemas.openxmlformats.org/spreadsheetml/2006/main" count="182" uniqueCount="105">
  <si>
    <t>Portafolio</t>
  </si>
  <si>
    <t>Oferta</t>
  </si>
  <si>
    <t>E 1 - 6</t>
  </si>
  <si>
    <t>BA+Movil</t>
  </si>
  <si>
    <t xml:space="preserve">500Mbps  + Móvil Ilimitado + HBOMAX (100% x 12 meses) </t>
  </si>
  <si>
    <t>BA+TV +Movil</t>
  </si>
  <si>
    <t>500Mbps + TV Avanzado 2 decos + Móvil Ilimitado + HBOMAX (100% x 12 mese)  + Win (100 % x 12 meses)</t>
  </si>
  <si>
    <t>Full Equipo</t>
  </si>
  <si>
    <t>Datos Ilimitados | 25 GB Compartir | Honor 200 smart en comodato</t>
  </si>
  <si>
    <t>Plan</t>
  </si>
  <si>
    <t xml:space="preserve"> CB Anterior</t>
  </si>
  <si>
    <t xml:space="preserve"> CB Nuevo</t>
  </si>
  <si>
    <t>GB</t>
  </si>
  <si>
    <t>COMPARTIR</t>
  </si>
  <si>
    <t>BENEFICIOS</t>
  </si>
  <si>
    <t>Pospago 5.0 XS (748|7481)</t>
  </si>
  <si>
    <t>30 GB</t>
  </si>
  <si>
    <t>15 GB</t>
  </si>
  <si>
    <t>* Redes: Facebook y Whatsapp
* Nacional:  SMS + Min ilimitados
*Internacional: Min Ilimitados. SMS: Generan cobro adicional
- USA,Canadá,Puerto rico</t>
  </si>
  <si>
    <t>Pospago 5.13 (750 |7501)</t>
  </si>
  <si>
    <t>Ilimitado</t>
  </si>
  <si>
    <t>25 GB</t>
  </si>
  <si>
    <t>* Nacional:  SMS + Min ilimitados
*Internacional: Min Ilimitados. SMS: Generan cobro adicional
- USA,Canadá,Puerto rico</t>
  </si>
  <si>
    <t>Pospago 5.19 (762|7621)</t>
  </si>
  <si>
    <t>60 GB</t>
  </si>
  <si>
    <t>Pospago 5.13 Seg (753|7531)</t>
  </si>
  <si>
    <t>50 GB</t>
  </si>
  <si>
    <t>Pospago 5.0 SS (771|7711)</t>
  </si>
  <si>
    <t>35 GB</t>
  </si>
  <si>
    <t>Pospago 5.18 (761|7611)</t>
  </si>
  <si>
    <t>Pospago 5.0 S  (754|7541)</t>
  </si>
  <si>
    <t>40 GB</t>
  </si>
  <si>
    <t>Pospago Fidelizacion 5.0 Plus+ (745|7451) |
Pospago Fidelizacion 5.0 Plus+_V2 (763|7631)</t>
  </si>
  <si>
    <t>20 GB</t>
  </si>
  <si>
    <t xml:space="preserve">Pospago Fidelizacion 5.0 Plus+ Seg (756|7561) </t>
  </si>
  <si>
    <t>65 GB</t>
  </si>
  <si>
    <t>Pospago Fidelizacion 5.0 Plus+ Seg_V2 (764 |7641 )</t>
  </si>
  <si>
    <t>Pospago 5.0 W (767|7671)</t>
  </si>
  <si>
    <t>Pospago 5.0 M (768|7681)</t>
  </si>
  <si>
    <t>Pospago 5.12_V2 (765|7651)</t>
  </si>
  <si>
    <t>80 GB</t>
  </si>
  <si>
    <t>* Redes: Facebook , Whatsapp e Instagram
* Nacional:  SMS + Min ilimitados
*Internacional: Min Ilimitados. SMS: Generan cobro adicional
- USA,Canadá,Puerto rico</t>
  </si>
  <si>
    <t>Pospago 5.12 (749 | 7491)</t>
  </si>
  <si>
    <t>Pospago Fidelizacion 5.0 (742|7421)
Pospago Fidelizacion 5.0_V2 (766|7661)</t>
  </si>
  <si>
    <t>85 GB</t>
  </si>
  <si>
    <t xml:space="preserve">Pospago 5.0 Fidelizacion Seg (751|7511)
</t>
  </si>
  <si>
    <t>90 GB</t>
  </si>
  <si>
    <t>Pospago 5.1 Plus+ (746|7461)</t>
  </si>
  <si>
    <t>95 GB</t>
  </si>
  <si>
    <t>Pospago 5.15 (758|7581)</t>
  </si>
  <si>
    <t>11 GB</t>
  </si>
  <si>
    <t>Pospago 5.1 (739|7391)</t>
  </si>
  <si>
    <t>110 GB</t>
  </si>
  <si>
    <t>Pospago 5.11 (744|7441)</t>
  </si>
  <si>
    <t>120 GB</t>
  </si>
  <si>
    <t>Pospago 5.11 Seg (752|7521)</t>
  </si>
  <si>
    <t>130 GB</t>
  </si>
  <si>
    <t>Pospago 5.11_V2  (769|7691)</t>
  </si>
  <si>
    <t>Pospago 5.0 L  (772|7721)</t>
  </si>
  <si>
    <t>N/A</t>
  </si>
  <si>
    <t>Pospago 5.2 Plus+ (747|7471)</t>
  </si>
  <si>
    <t>140 GB</t>
  </si>
  <si>
    <t>70 GB</t>
  </si>
  <si>
    <t>Pospago 5.16 (759|7591)</t>
  </si>
  <si>
    <t>17 GB</t>
  </si>
  <si>
    <t>Pospago 5.2_V2 (770|7701)</t>
  </si>
  <si>
    <t>Pospago 5.0 D (773|7731)</t>
  </si>
  <si>
    <t>Pospago 5.2 (740|7401)</t>
  </si>
  <si>
    <t>160 GB</t>
  </si>
  <si>
    <t>75 GB</t>
  </si>
  <si>
    <t>Pospago 5.2 Seg (755|7551)</t>
  </si>
  <si>
    <t>Pospago 5.3 con Descuento (743|7431)</t>
  </si>
  <si>
    <t>Pospago 5.3 (741|7411)</t>
  </si>
  <si>
    <t>Pospago 5.0 XL (774|7741)</t>
  </si>
  <si>
    <t>Tarifa Plena</t>
  </si>
  <si>
    <t>Oferta 1</t>
  </si>
  <si>
    <t>Oferta 2</t>
  </si>
  <si>
    <t>Oferta 3</t>
  </si>
  <si>
    <t>Plan a ofrecer Retención</t>
  </si>
  <si>
    <t>Dcto x  6 meses</t>
  </si>
  <si>
    <t>Tarifa Final</t>
  </si>
  <si>
    <t>Pospago 5.0 XS (748)</t>
  </si>
  <si>
    <t>Up  $53,9k + Dcto 25% x 6meses (ID:767)</t>
  </si>
  <si>
    <t>Pospago 5.19 (762)</t>
  </si>
  <si>
    <t>Up  $53,9 + Dcto 20% x 6meses (ID:767)</t>
  </si>
  <si>
    <t>Pospago 5.0 S FC (754)</t>
  </si>
  <si>
    <t>Up  $53,9 + Dcto 15% x 6meses (ID:767)</t>
  </si>
  <si>
    <t>Pospago 5.0 W (767)</t>
  </si>
  <si>
    <t>Pospago 5.0 M (768)</t>
  </si>
  <si>
    <t>Ilimitado (767)</t>
  </si>
  <si>
    <t>Pospago 5.1 Plus+ (746)</t>
  </si>
  <si>
    <t>Pospago 5.0 L  (772)</t>
  </si>
  <si>
    <t>Pospago 5.2_V2 (770)</t>
  </si>
  <si>
    <t>Pospago 5.0 D (773)</t>
  </si>
  <si>
    <t>Pospago 5.2 Seg (755)</t>
  </si>
  <si>
    <t>Pospago 5.3 con Descuento (743)</t>
  </si>
  <si>
    <t>Pospago 5.0 XL (774)</t>
  </si>
  <si>
    <t>30 GB - 15 GB compartir</t>
  </si>
  <si>
    <t>60 GB - 15 GB compartir</t>
  </si>
  <si>
    <t>40 GB - 15 GB compartir</t>
  </si>
  <si>
    <t>Ilimitado - 15 GB compartir</t>
  </si>
  <si>
    <t>95 GB - 40 GB compartir</t>
  </si>
  <si>
    <t>Ilimitado - 25 GB compartir</t>
  </si>
  <si>
    <t>Ilimitado - 75 GB compartir</t>
  </si>
  <si>
    <t>Ilimitado - 80 GB compartir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</si>
</sst>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-&quot;$&quot;\ * #,##0_-;\-&quot;$&quot;\ * #,##0_-;_-&quot;$&quot;\ 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ronos Pro"/>
      <family val="2"/>
    </font>
    <font>
      <sz val="10"/>
      <color rgb="FF002060"/>
      <name val="Cronos Pro"/>
      <family val="2"/>
    </font>
    <font>
      <b/>
      <sz val="11"/>
      <color rgb="FFFFFFFF"/>
      <name val="Cronos Pro"/>
    </font>
    <font>
      <b/>
      <sz val="11"/>
      <color rgb="FF002060"/>
      <name val="Cronos Pro"/>
    </font>
    <font>
      <b/>
      <sz val="10"/>
      <color rgb="FF002060"/>
      <name val="Cronos Pro"/>
    </font>
    <font>
      <sz val="10"/>
      <color rgb="FF002060"/>
      <name val="Cronos Pro"/>
    </font>
    <font>
      <b/>
      <sz val="10"/>
      <color theme="0"/>
      <name val="Cronos Pro"/>
    </font>
    <font>
      <sz val="10"/>
      <color theme="0"/>
      <name val="Cronos Pro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rgb="FF00B0F0"/>
      </left>
      <right style="thin">
        <color theme="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dotted">
        <color rgb="FF00B0F0"/>
      </right>
      <top style="medium">
        <color rgb="FF00B0F0"/>
      </top>
      <bottom style="dotted">
        <color rgb="FF00B0F0"/>
      </bottom>
      <diagonal/>
    </border>
    <border>
      <left style="dotted">
        <color rgb="FF00B0F0"/>
      </left>
      <right/>
      <top style="medium">
        <color rgb="FF00B0F0"/>
      </top>
      <bottom style="dotted">
        <color rgb="FF00B0F0"/>
      </bottom>
      <diagonal/>
    </border>
    <border>
      <left/>
      <right style="dotted">
        <color rgb="FF00B0F0"/>
      </right>
      <top style="medium">
        <color rgb="FF00B0F0"/>
      </top>
      <bottom style="dotted">
        <color rgb="FF00B0F0"/>
      </bottom>
      <diagonal/>
    </border>
    <border>
      <left style="dotted">
        <color rgb="FF00B0F0"/>
      </left>
      <right style="medium">
        <color rgb="FF00B0F0"/>
      </right>
      <top style="medium">
        <color rgb="FF00B0F0"/>
      </top>
      <bottom style="dotted">
        <color rgb="FF00B0F0"/>
      </bottom>
      <diagonal/>
    </border>
    <border>
      <left style="medium">
        <color rgb="FF00B0F0"/>
      </left>
      <right style="dotted">
        <color rgb="FF00B0F0"/>
      </right>
      <top style="dotted">
        <color rgb="FF00B0F0"/>
      </top>
      <bottom style="dotted">
        <color rgb="FF00B0F0"/>
      </bottom>
      <diagonal/>
    </border>
    <border>
      <left style="dotted">
        <color rgb="FF00B0F0"/>
      </left>
      <right/>
      <top style="dotted">
        <color rgb="FF00B0F0"/>
      </top>
      <bottom style="dotted">
        <color rgb="FF00B0F0"/>
      </bottom>
      <diagonal/>
    </border>
    <border>
      <left/>
      <right style="dotted">
        <color rgb="FF00B0F0"/>
      </right>
      <top style="dotted">
        <color rgb="FF00B0F0"/>
      </top>
      <bottom style="dotted">
        <color rgb="FF00B0F0"/>
      </bottom>
      <diagonal/>
    </border>
    <border>
      <left style="dotted">
        <color rgb="FF00B0F0"/>
      </left>
      <right style="medium">
        <color rgb="FF00B0F0"/>
      </right>
      <top style="dotted">
        <color rgb="FF00B0F0"/>
      </top>
      <bottom style="dotted">
        <color rgb="FF00B0F0"/>
      </bottom>
      <diagonal/>
    </border>
    <border>
      <left style="medium">
        <color rgb="FF00B0F0"/>
      </left>
      <right style="dashed">
        <color rgb="FF00B0F0"/>
      </right>
      <top style="medium">
        <color rgb="FF00B0F0"/>
      </top>
      <bottom/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/>
      <top/>
      <bottom/>
      <diagonal/>
    </border>
    <border>
      <left style="medium">
        <color rgb="FF00B0F0"/>
      </left>
      <right style="dashed">
        <color rgb="FF00B0F0"/>
      </right>
      <top/>
      <bottom style="medium">
        <color rgb="FF00B0F0"/>
      </bottom>
      <diagonal/>
    </border>
    <border>
      <left style="dashed">
        <color rgb="FF00B0F0"/>
      </left>
      <right style="dashed">
        <color rgb="FF00B0F0"/>
      </right>
      <top style="dashed">
        <color rgb="FF00B0F0"/>
      </top>
      <bottom style="medium">
        <color rgb="FF00B0F0"/>
      </bottom>
      <diagonal/>
    </border>
    <border>
      <left style="medium">
        <color rgb="FF00B0F0"/>
      </left>
      <right style="dashed">
        <color rgb="FF00B0F0"/>
      </right>
      <top style="dashed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dashed">
        <color rgb="FF00B0F0"/>
      </top>
      <bottom style="dashed">
        <color rgb="FF00B0F0"/>
      </bottom>
      <diagonal/>
    </border>
    <border>
      <left style="dashed">
        <color rgb="FF00B0F0"/>
      </left>
      <right/>
      <top style="dashed">
        <color rgb="FF00B0F0"/>
      </top>
      <bottom style="dashed">
        <color rgb="FF00B0F0"/>
      </bottom>
      <diagonal/>
    </border>
    <border>
      <left/>
      <right/>
      <top style="dashed">
        <color rgb="FF00B0F0"/>
      </top>
      <bottom style="dashed">
        <color rgb="FF00B0F0"/>
      </bottom>
      <diagonal/>
    </border>
    <border>
      <left/>
      <right style="dashed">
        <color rgb="FF00B0F0"/>
      </right>
      <top style="dashed">
        <color rgb="FF00B0F0"/>
      </top>
      <bottom style="dashed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vertical="center"/>
    </xf>
    <xf numFmtId="165" fontId="7" fillId="0" borderId="19" xfId="1" applyNumberFormat="1" applyFont="1" applyFill="1" applyBorder="1" applyAlignment="1">
      <alignment horizontal="center" vertical="center"/>
    </xf>
    <xf numFmtId="165" fontId="7" fillId="5" borderId="20" xfId="1" applyNumberFormat="1" applyFont="1" applyFill="1" applyBorder="1" applyAlignment="1">
      <alignment horizontal="center" vertical="center"/>
    </xf>
    <xf numFmtId="165" fontId="7" fillId="0" borderId="20" xfId="1" applyNumberFormat="1" applyFont="1" applyFill="1" applyBorder="1" applyAlignment="1">
      <alignment horizontal="center" vertical="center"/>
    </xf>
    <xf numFmtId="165" fontId="7" fillId="0" borderId="21" xfId="1" applyNumberFormat="1" applyFont="1" applyFill="1" applyBorder="1" applyAlignment="1">
      <alignment horizontal="center" vertical="center"/>
    </xf>
    <xf numFmtId="165" fontId="7" fillId="0" borderId="22" xfId="1" applyNumberFormat="1" applyFont="1" applyFill="1" applyBorder="1" applyAlignment="1">
      <alignment horizontal="center" vertical="center"/>
    </xf>
    <xf numFmtId="165" fontId="7" fillId="0" borderId="23" xfId="1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18" xfId="0" applyFont="1" applyBorder="1" applyAlignment="1">
      <alignment vertical="center" wrapText="1"/>
    </xf>
    <xf numFmtId="0" fontId="8" fillId="6" borderId="18" xfId="0" applyFont="1" applyFill="1" applyBorder="1" applyAlignment="1">
      <alignment vertical="center" wrapText="1"/>
    </xf>
    <xf numFmtId="165" fontId="7" fillId="7" borderId="19" xfId="1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vertical="center"/>
    </xf>
    <xf numFmtId="165" fontId="9" fillId="2" borderId="19" xfId="1" applyNumberFormat="1" applyFont="1" applyFill="1" applyBorder="1" applyAlignment="1">
      <alignment horizontal="center" vertical="center"/>
    </xf>
    <xf numFmtId="165" fontId="9" fillId="2" borderId="20" xfId="1" applyNumberFormat="1" applyFont="1" applyFill="1" applyBorder="1" applyAlignment="1">
      <alignment horizontal="center" vertical="center"/>
    </xf>
    <xf numFmtId="165" fontId="9" fillId="2" borderId="21" xfId="1" applyNumberFormat="1" applyFont="1" applyFill="1" applyBorder="1" applyAlignment="1">
      <alignment horizontal="center" vertical="center"/>
    </xf>
    <xf numFmtId="165" fontId="9" fillId="2" borderId="22" xfId="1" applyNumberFormat="1" applyFont="1" applyFill="1" applyBorder="1" applyAlignment="1">
      <alignment horizontal="center" vertical="center"/>
    </xf>
    <xf numFmtId="165" fontId="9" fillId="2" borderId="23" xfId="1" applyNumberFormat="1" applyFont="1" applyFill="1" applyBorder="1" applyAlignment="1">
      <alignment horizontal="center" vertical="center"/>
    </xf>
    <xf numFmtId="0" fontId="0" fillId="0" borderId="24" xfId="0" applyBorder="1"/>
    <xf numFmtId="44" fontId="0" fillId="0" borderId="24" xfId="1" applyFont="1" applyBorder="1"/>
    <xf numFmtId="9" fontId="0" fillId="0" borderId="24" xfId="2" applyFont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637A-51A0-41BF-B63E-9CB7AFE1ACFB}">
  <dimension ref="A1:D4"/>
  <sheetViews>
    <sheetView workbookViewId="0">
      <selection activeCell="D12" sqref="D12"/>
    </sheetView>
  </sheetViews>
  <sheetFormatPr baseColWidth="10" defaultRowHeight="15"/>
  <cols>
    <col min="1" max="1" width="12.85546875" bestFit="1" customWidth="1"/>
    <col min="2" max="2" width="60.85546875" customWidth="1"/>
    <col min="3" max="3" width="37.85546875" customWidth="1"/>
  </cols>
  <sheetData>
    <row r="1" spans="1:4" ht="32.25" thickBot="1">
      <c r="A1" s="1" t="s">
        <v>0</v>
      </c>
      <c r="B1" s="2" t="s">
        <v>1</v>
      </c>
      <c r="C1" s="3"/>
      <c r="D1" s="4" t="s">
        <v>2</v>
      </c>
    </row>
    <row r="2" spans="1:4">
      <c r="A2" s="5" t="s">
        <v>3</v>
      </c>
      <c r="B2" s="6" t="s">
        <v>4</v>
      </c>
      <c r="C2" s="7"/>
      <c r="D2" s="8">
        <f>99900+10000+10000</f>
        <v>119900</v>
      </c>
    </row>
    <row r="3" spans="1:4">
      <c r="A3" s="9" t="s">
        <v>5</v>
      </c>
      <c r="B3" s="10" t="s">
        <v>6</v>
      </c>
      <c r="C3" s="11"/>
      <c r="D3" s="12">
        <f>129900+10000+10000</f>
        <v>149900</v>
      </c>
    </row>
    <row r="4" spans="1:4">
      <c r="A4" s="9" t="s">
        <v>7</v>
      </c>
      <c r="B4" s="10" t="s">
        <v>8</v>
      </c>
      <c r="C4" s="11"/>
      <c r="D4" s="12">
        <v>79900</v>
      </c>
    </row>
  </sheetData>
  <mergeCells count="3">
    <mergeCell ref="B2:C2"/>
    <mergeCell ref="B3:C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FC11-11FD-41DE-AC40-B23473FFACEA}">
  <dimension ref="A1:L34"/>
  <sheetViews>
    <sheetView workbookViewId="0">
      <selection sqref="A1:L34"/>
    </sheetView>
  </sheetViews>
  <sheetFormatPr baseColWidth="10" defaultRowHeight="15"/>
  <cols>
    <col min="1" max="1" width="53" customWidth="1"/>
    <col min="12" max="12" width="70.42578125" customWidth="1"/>
  </cols>
  <sheetData>
    <row r="1" spans="1:12">
      <c r="A1" s="13" t="s">
        <v>9</v>
      </c>
      <c r="B1" s="14" t="s">
        <v>10</v>
      </c>
      <c r="C1" s="15" t="s">
        <v>11</v>
      </c>
      <c r="D1" s="14" t="s">
        <v>12</v>
      </c>
      <c r="E1" s="14" t="s">
        <v>13</v>
      </c>
      <c r="F1" s="16" t="s">
        <v>14</v>
      </c>
      <c r="G1" s="17"/>
      <c r="H1" s="17"/>
      <c r="I1" s="17"/>
      <c r="J1" s="17"/>
      <c r="K1" s="17"/>
      <c r="L1" s="17"/>
    </row>
    <row r="2" spans="1:12" ht="15.75" thickBot="1">
      <c r="A2" s="18"/>
      <c r="B2" s="19"/>
      <c r="C2" s="20"/>
      <c r="D2" s="19"/>
      <c r="E2" s="19"/>
      <c r="F2" s="16"/>
      <c r="G2" s="17"/>
      <c r="H2" s="17"/>
      <c r="I2" s="17"/>
      <c r="J2" s="17"/>
      <c r="K2" s="17"/>
      <c r="L2" s="17"/>
    </row>
    <row r="3" spans="1:12">
      <c r="A3" s="21" t="s">
        <v>15</v>
      </c>
      <c r="B3" s="22">
        <v>35900</v>
      </c>
      <c r="C3" s="22">
        <f>+B3+4000</f>
        <v>39900</v>
      </c>
      <c r="D3" s="23" t="s">
        <v>16</v>
      </c>
      <c r="E3" s="24" t="s">
        <v>17</v>
      </c>
      <c r="F3" s="25" t="s">
        <v>18</v>
      </c>
      <c r="G3" s="26"/>
      <c r="H3" s="26"/>
      <c r="I3" s="26"/>
      <c r="J3" s="26"/>
      <c r="K3" s="26"/>
      <c r="L3" s="27"/>
    </row>
    <row r="4" spans="1:12">
      <c r="A4" s="21" t="s">
        <v>19</v>
      </c>
      <c r="B4" s="22">
        <v>35900</v>
      </c>
      <c r="C4" s="22">
        <f>+B4+4000</f>
        <v>39900</v>
      </c>
      <c r="D4" s="23" t="s">
        <v>20</v>
      </c>
      <c r="E4" s="24" t="s">
        <v>21</v>
      </c>
      <c r="F4" s="25" t="s">
        <v>22</v>
      </c>
      <c r="G4" s="26"/>
      <c r="H4" s="26"/>
      <c r="I4" s="26"/>
      <c r="J4" s="26"/>
      <c r="K4" s="26"/>
      <c r="L4" s="27"/>
    </row>
    <row r="5" spans="1:12">
      <c r="A5" s="21" t="s">
        <v>23</v>
      </c>
      <c r="B5" s="22">
        <v>39900</v>
      </c>
      <c r="C5" s="22">
        <f>+B5+4000</f>
        <v>43900</v>
      </c>
      <c r="D5" s="23" t="s">
        <v>24</v>
      </c>
      <c r="E5" s="24" t="s">
        <v>17</v>
      </c>
      <c r="F5" s="25" t="s">
        <v>18</v>
      </c>
      <c r="G5" s="26"/>
      <c r="H5" s="26"/>
      <c r="I5" s="26"/>
      <c r="J5" s="26"/>
      <c r="K5" s="26"/>
      <c r="L5" s="27"/>
    </row>
    <row r="6" spans="1:12">
      <c r="A6" s="21" t="s">
        <v>25</v>
      </c>
      <c r="B6" s="22">
        <v>39900</v>
      </c>
      <c r="C6" s="22">
        <f>+B6+4000</f>
        <v>43900</v>
      </c>
      <c r="D6" s="23" t="s">
        <v>26</v>
      </c>
      <c r="E6" s="24" t="s">
        <v>17</v>
      </c>
      <c r="F6" s="25" t="s">
        <v>18</v>
      </c>
      <c r="G6" s="26"/>
      <c r="H6" s="26"/>
      <c r="I6" s="26"/>
      <c r="J6" s="26"/>
      <c r="K6" s="26"/>
      <c r="L6" s="27"/>
    </row>
    <row r="7" spans="1:12">
      <c r="A7" s="21" t="s">
        <v>27</v>
      </c>
      <c r="B7" s="22">
        <v>35900</v>
      </c>
      <c r="C7" s="22">
        <f>+B7+12000</f>
        <v>47900</v>
      </c>
      <c r="D7" s="23" t="s">
        <v>28</v>
      </c>
      <c r="E7" s="24" t="s">
        <v>17</v>
      </c>
      <c r="F7" s="25" t="s">
        <v>18</v>
      </c>
      <c r="G7" s="26"/>
      <c r="H7" s="26"/>
      <c r="I7" s="26"/>
      <c r="J7" s="26"/>
      <c r="K7" s="26"/>
      <c r="L7" s="27"/>
    </row>
    <row r="8" spans="1:12">
      <c r="A8" s="21" t="s">
        <v>29</v>
      </c>
      <c r="B8" s="22">
        <v>39900</v>
      </c>
      <c r="C8" s="22">
        <f>+B8+4000</f>
        <v>43900</v>
      </c>
      <c r="D8" s="24" t="s">
        <v>28</v>
      </c>
      <c r="E8" s="24" t="s">
        <v>17</v>
      </c>
      <c r="F8" s="25" t="s">
        <v>18</v>
      </c>
      <c r="G8" s="26"/>
      <c r="H8" s="26"/>
      <c r="I8" s="26"/>
      <c r="J8" s="26"/>
      <c r="K8" s="26"/>
      <c r="L8" s="27"/>
    </row>
    <row r="9" spans="1:12">
      <c r="A9" s="28" t="s">
        <v>30</v>
      </c>
      <c r="B9" s="22">
        <v>43900</v>
      </c>
      <c r="C9" s="22">
        <f t="shared" ref="C9:C14" si="0">+B9+4000</f>
        <v>47900</v>
      </c>
      <c r="D9" s="24" t="s">
        <v>31</v>
      </c>
      <c r="E9" s="24" t="s">
        <v>17</v>
      </c>
      <c r="F9" s="25" t="s">
        <v>18</v>
      </c>
      <c r="G9" s="26"/>
      <c r="H9" s="26"/>
      <c r="I9" s="26"/>
      <c r="J9" s="26"/>
      <c r="K9" s="26"/>
      <c r="L9" s="27"/>
    </row>
    <row r="10" spans="1:12" ht="114.75">
      <c r="A10" s="29" t="s">
        <v>32</v>
      </c>
      <c r="B10" s="22">
        <v>49900</v>
      </c>
      <c r="C10" s="22">
        <f t="shared" si="0"/>
        <v>53900</v>
      </c>
      <c r="D10" s="24" t="s">
        <v>24</v>
      </c>
      <c r="E10" s="24" t="s">
        <v>33</v>
      </c>
      <c r="F10" s="25" t="s">
        <v>18</v>
      </c>
      <c r="G10" s="26"/>
      <c r="H10" s="26"/>
      <c r="I10" s="26"/>
      <c r="J10" s="26"/>
      <c r="K10" s="26"/>
      <c r="L10" s="27"/>
    </row>
    <row r="11" spans="1:12">
      <c r="A11" s="28" t="s">
        <v>34</v>
      </c>
      <c r="B11" s="22">
        <v>49900</v>
      </c>
      <c r="C11" s="22">
        <f t="shared" si="0"/>
        <v>53900</v>
      </c>
      <c r="D11" s="24" t="s">
        <v>35</v>
      </c>
      <c r="E11" s="24" t="s">
        <v>33</v>
      </c>
      <c r="F11" s="25" t="s">
        <v>18</v>
      </c>
      <c r="G11" s="26"/>
      <c r="H11" s="26"/>
      <c r="I11" s="26"/>
      <c r="J11" s="26"/>
      <c r="K11" s="26"/>
      <c r="L11" s="27"/>
    </row>
    <row r="12" spans="1:12">
      <c r="A12" s="28" t="s">
        <v>36</v>
      </c>
      <c r="B12" s="22">
        <v>49900</v>
      </c>
      <c r="C12" s="22">
        <f t="shared" si="0"/>
        <v>53900</v>
      </c>
      <c r="D12" s="24" t="s">
        <v>35</v>
      </c>
      <c r="E12" s="24" t="s">
        <v>33</v>
      </c>
      <c r="F12" s="25" t="s">
        <v>18</v>
      </c>
      <c r="G12" s="26"/>
      <c r="H12" s="26"/>
      <c r="I12" s="26"/>
      <c r="J12" s="26"/>
      <c r="K12" s="26"/>
      <c r="L12" s="27"/>
    </row>
    <row r="13" spans="1:12">
      <c r="A13" s="28" t="s">
        <v>37</v>
      </c>
      <c r="B13" s="22">
        <v>49900</v>
      </c>
      <c r="C13" s="22">
        <f t="shared" si="0"/>
        <v>53900</v>
      </c>
      <c r="D13" s="24" t="s">
        <v>20</v>
      </c>
      <c r="E13" s="24" t="s">
        <v>17</v>
      </c>
      <c r="F13" s="25" t="s">
        <v>18</v>
      </c>
      <c r="G13" s="26"/>
      <c r="H13" s="26"/>
      <c r="I13" s="26"/>
      <c r="J13" s="26"/>
      <c r="K13" s="26"/>
      <c r="L13" s="27"/>
    </row>
    <row r="14" spans="1:12">
      <c r="A14" s="28" t="s">
        <v>38</v>
      </c>
      <c r="B14" s="22">
        <v>49900</v>
      </c>
      <c r="C14" s="22">
        <f t="shared" si="0"/>
        <v>53900</v>
      </c>
      <c r="D14" s="24" t="s">
        <v>24</v>
      </c>
      <c r="E14" s="24" t="s">
        <v>17</v>
      </c>
      <c r="F14" s="25" t="s">
        <v>18</v>
      </c>
      <c r="G14" s="26"/>
      <c r="H14" s="26"/>
      <c r="I14" s="26"/>
      <c r="J14" s="26"/>
      <c r="K14" s="26"/>
      <c r="L14" s="27"/>
    </row>
    <row r="15" spans="1:12" ht="38.25">
      <c r="A15" s="30" t="s">
        <v>39</v>
      </c>
      <c r="B15" s="22"/>
      <c r="C15" s="22"/>
      <c r="D15" s="24" t="s">
        <v>40</v>
      </c>
      <c r="E15" s="24" t="s">
        <v>21</v>
      </c>
      <c r="F15" s="25" t="s">
        <v>41</v>
      </c>
      <c r="G15" s="26"/>
      <c r="H15" s="26"/>
      <c r="I15" s="26"/>
      <c r="J15" s="26"/>
      <c r="K15" s="26"/>
      <c r="L15" s="27"/>
    </row>
    <row r="16" spans="1:12" ht="38.25">
      <c r="A16" s="29" t="s">
        <v>42</v>
      </c>
      <c r="B16" s="22">
        <v>59900</v>
      </c>
      <c r="C16" s="22">
        <f>+B16+4000</f>
        <v>63900</v>
      </c>
      <c r="D16" s="24" t="s">
        <v>40</v>
      </c>
      <c r="E16" s="24" t="s">
        <v>21</v>
      </c>
      <c r="F16" s="25" t="s">
        <v>41</v>
      </c>
      <c r="G16" s="26"/>
      <c r="H16" s="26"/>
      <c r="I16" s="26"/>
      <c r="J16" s="26"/>
      <c r="K16" s="26"/>
      <c r="L16" s="27"/>
    </row>
    <row r="17" spans="1:12" ht="102">
      <c r="A17" s="29" t="s">
        <v>43</v>
      </c>
      <c r="B17" s="22">
        <v>59900</v>
      </c>
      <c r="C17" s="22">
        <f>+B17+4000</f>
        <v>63900</v>
      </c>
      <c r="D17" s="24" t="s">
        <v>44</v>
      </c>
      <c r="E17" s="24" t="s">
        <v>28</v>
      </c>
      <c r="F17" s="25" t="s">
        <v>41</v>
      </c>
      <c r="G17" s="26"/>
      <c r="H17" s="26"/>
      <c r="I17" s="26"/>
      <c r="J17" s="26"/>
      <c r="K17" s="26"/>
      <c r="L17" s="27"/>
    </row>
    <row r="18" spans="1:12">
      <c r="A18" s="28" t="s">
        <v>45</v>
      </c>
      <c r="B18" s="22">
        <v>59900</v>
      </c>
      <c r="C18" s="22">
        <f>+B18+4000</f>
        <v>63900</v>
      </c>
      <c r="D18" s="24" t="s">
        <v>46</v>
      </c>
      <c r="E18" s="24" t="s">
        <v>28</v>
      </c>
      <c r="F18" s="25" t="s">
        <v>41</v>
      </c>
      <c r="G18" s="26"/>
      <c r="H18" s="26"/>
      <c r="I18" s="26"/>
      <c r="J18" s="26"/>
      <c r="K18" s="26"/>
      <c r="L18" s="27"/>
    </row>
    <row r="19" spans="1:12">
      <c r="A19" s="28" t="s">
        <v>47</v>
      </c>
      <c r="B19" s="22">
        <v>59900</v>
      </c>
      <c r="C19" s="22">
        <f>+B19+4000</f>
        <v>63900</v>
      </c>
      <c r="D19" s="24" t="s">
        <v>48</v>
      </c>
      <c r="E19" s="24" t="s">
        <v>31</v>
      </c>
      <c r="F19" s="25" t="s">
        <v>41</v>
      </c>
      <c r="G19" s="26"/>
      <c r="H19" s="26"/>
      <c r="I19" s="26"/>
      <c r="J19" s="26"/>
      <c r="K19" s="26"/>
      <c r="L19" s="27"/>
    </row>
    <row r="20" spans="1:12">
      <c r="A20" s="28" t="s">
        <v>49</v>
      </c>
      <c r="B20" s="22">
        <v>69900</v>
      </c>
      <c r="C20" s="31">
        <f t="shared" ref="C20:C21" si="1">+B20</f>
        <v>69900</v>
      </c>
      <c r="D20" s="24" t="s">
        <v>20</v>
      </c>
      <c r="E20" s="24" t="s">
        <v>50</v>
      </c>
      <c r="F20" s="25" t="s">
        <v>41</v>
      </c>
      <c r="G20" s="26"/>
      <c r="H20" s="26"/>
      <c r="I20" s="26"/>
      <c r="J20" s="26"/>
      <c r="K20" s="26"/>
      <c r="L20" s="27"/>
    </row>
    <row r="21" spans="1:12">
      <c r="A21" s="28" t="s">
        <v>51</v>
      </c>
      <c r="B21" s="22">
        <v>69900</v>
      </c>
      <c r="C21" s="31">
        <f t="shared" si="1"/>
        <v>69900</v>
      </c>
      <c r="D21" s="24" t="s">
        <v>52</v>
      </c>
      <c r="E21" s="24" t="s">
        <v>26</v>
      </c>
      <c r="F21" s="25" t="s">
        <v>41</v>
      </c>
      <c r="G21" s="26"/>
      <c r="H21" s="26"/>
      <c r="I21" s="26"/>
      <c r="J21" s="26"/>
      <c r="K21" s="26"/>
      <c r="L21" s="27"/>
    </row>
    <row r="22" spans="1:12">
      <c r="A22" s="28" t="s">
        <v>53</v>
      </c>
      <c r="B22" s="22">
        <v>69900</v>
      </c>
      <c r="C22" s="31">
        <f>+B22</f>
        <v>69900</v>
      </c>
      <c r="D22" s="24" t="s">
        <v>54</v>
      </c>
      <c r="E22" s="24" t="s">
        <v>35</v>
      </c>
      <c r="F22" s="25" t="s">
        <v>41</v>
      </c>
      <c r="G22" s="26"/>
      <c r="H22" s="26"/>
      <c r="I22" s="26"/>
      <c r="J22" s="26"/>
      <c r="K22" s="26"/>
      <c r="L22" s="27"/>
    </row>
    <row r="23" spans="1:12">
      <c r="A23" s="28" t="s">
        <v>55</v>
      </c>
      <c r="B23" s="22">
        <v>69900</v>
      </c>
      <c r="C23" s="31">
        <f>+B23</f>
        <v>69900</v>
      </c>
      <c r="D23" s="24" t="s">
        <v>56</v>
      </c>
      <c r="E23" s="24" t="s">
        <v>35</v>
      </c>
      <c r="F23" s="25" t="s">
        <v>41</v>
      </c>
      <c r="G23" s="26"/>
      <c r="H23" s="26"/>
      <c r="I23" s="26"/>
      <c r="J23" s="26"/>
      <c r="K23" s="26"/>
      <c r="L23" s="27"/>
    </row>
    <row r="24" spans="1:12">
      <c r="A24" s="28" t="s">
        <v>57</v>
      </c>
      <c r="B24" s="22">
        <v>69900</v>
      </c>
      <c r="C24" s="31">
        <f>+B24</f>
        <v>69900</v>
      </c>
      <c r="D24" s="24" t="s">
        <v>20</v>
      </c>
      <c r="E24" s="24" t="s">
        <v>16</v>
      </c>
      <c r="F24" s="25" t="s">
        <v>41</v>
      </c>
      <c r="G24" s="26"/>
      <c r="H24" s="26"/>
      <c r="I24" s="26"/>
      <c r="J24" s="26"/>
      <c r="K24" s="26"/>
      <c r="L24" s="27"/>
    </row>
    <row r="25" spans="1:12" ht="38.25">
      <c r="A25" s="29" t="s">
        <v>58</v>
      </c>
      <c r="B25" s="22">
        <v>69900</v>
      </c>
      <c r="C25" s="31">
        <f>+B25</f>
        <v>69900</v>
      </c>
      <c r="D25" s="24" t="s">
        <v>20</v>
      </c>
      <c r="E25" s="24" t="s">
        <v>17</v>
      </c>
      <c r="F25" s="25" t="s">
        <v>59</v>
      </c>
      <c r="G25" s="26"/>
      <c r="H25" s="26"/>
      <c r="I25" s="26"/>
      <c r="J25" s="26"/>
      <c r="K25" s="26"/>
      <c r="L25" s="27"/>
    </row>
    <row r="26" spans="1:12">
      <c r="A26" s="28" t="s">
        <v>60</v>
      </c>
      <c r="B26" s="22">
        <v>79900</v>
      </c>
      <c r="C26" s="22">
        <f>+B26+4000</f>
        <v>83900</v>
      </c>
      <c r="D26" s="24" t="s">
        <v>61</v>
      </c>
      <c r="E26" s="24" t="s">
        <v>62</v>
      </c>
      <c r="F26" s="25" t="s">
        <v>41</v>
      </c>
      <c r="G26" s="26"/>
      <c r="H26" s="26"/>
      <c r="I26" s="26"/>
      <c r="J26" s="26"/>
      <c r="K26" s="26"/>
      <c r="L26" s="27"/>
    </row>
    <row r="27" spans="1:12">
      <c r="A27" s="28" t="s">
        <v>63</v>
      </c>
      <c r="B27" s="22">
        <v>79900</v>
      </c>
      <c r="C27" s="22">
        <f>+B27+4000</f>
        <v>83900</v>
      </c>
      <c r="D27" s="24" t="s">
        <v>20</v>
      </c>
      <c r="E27" s="24" t="s">
        <v>64</v>
      </c>
      <c r="F27" s="25" t="s">
        <v>41</v>
      </c>
      <c r="G27" s="26"/>
      <c r="H27" s="26"/>
      <c r="I27" s="26"/>
      <c r="J27" s="26"/>
      <c r="K27" s="26"/>
      <c r="L27" s="27"/>
    </row>
    <row r="28" spans="1:12">
      <c r="A28" s="32" t="s">
        <v>65</v>
      </c>
      <c r="B28" s="33">
        <v>79900</v>
      </c>
      <c r="C28" s="31">
        <f>+B28</f>
        <v>79900</v>
      </c>
      <c r="D28" s="34" t="s">
        <v>20</v>
      </c>
      <c r="E28" s="34" t="s">
        <v>21</v>
      </c>
      <c r="F28" s="35" t="s">
        <v>41</v>
      </c>
      <c r="G28" s="36"/>
      <c r="H28" s="36"/>
      <c r="I28" s="36"/>
      <c r="J28" s="36"/>
      <c r="K28" s="36"/>
      <c r="L28" s="37"/>
    </row>
    <row r="29" spans="1:12">
      <c r="A29" s="28" t="s">
        <v>66</v>
      </c>
      <c r="B29" s="22">
        <v>79900</v>
      </c>
      <c r="C29" s="22">
        <f>+B29+10000</f>
        <v>89900</v>
      </c>
      <c r="D29" s="24" t="s">
        <v>20</v>
      </c>
      <c r="E29" s="24" t="s">
        <v>21</v>
      </c>
      <c r="F29" s="25" t="s">
        <v>59</v>
      </c>
      <c r="G29" s="26"/>
      <c r="H29" s="26"/>
      <c r="I29" s="26"/>
      <c r="J29" s="26"/>
      <c r="K29" s="26"/>
      <c r="L29" s="27"/>
    </row>
    <row r="30" spans="1:12">
      <c r="A30" s="28" t="s">
        <v>67</v>
      </c>
      <c r="B30" s="22">
        <v>89900</v>
      </c>
      <c r="C30" s="22">
        <f>+B30+4000</f>
        <v>93900</v>
      </c>
      <c r="D30" s="24" t="s">
        <v>68</v>
      </c>
      <c r="E30" s="24" t="s">
        <v>69</v>
      </c>
      <c r="F30" s="25" t="s">
        <v>41</v>
      </c>
      <c r="G30" s="26"/>
      <c r="H30" s="26"/>
      <c r="I30" s="26"/>
      <c r="J30" s="26"/>
      <c r="K30" s="26"/>
      <c r="L30" s="27"/>
    </row>
    <row r="31" spans="1:12">
      <c r="A31" s="28" t="s">
        <v>70</v>
      </c>
      <c r="B31" s="22">
        <v>89900</v>
      </c>
      <c r="C31" s="22">
        <f>+B31+4000</f>
        <v>93900</v>
      </c>
      <c r="D31" s="24" t="s">
        <v>20</v>
      </c>
      <c r="E31" s="24" t="s">
        <v>69</v>
      </c>
      <c r="F31" s="25" t="s">
        <v>41</v>
      </c>
      <c r="G31" s="26"/>
      <c r="H31" s="26"/>
      <c r="I31" s="26"/>
      <c r="J31" s="26"/>
      <c r="K31" s="26"/>
      <c r="L31" s="27"/>
    </row>
    <row r="32" spans="1:12">
      <c r="A32" s="28" t="s">
        <v>71</v>
      </c>
      <c r="B32" s="22">
        <v>99900</v>
      </c>
      <c r="C32" s="22">
        <f>+B32+4000</f>
        <v>103900</v>
      </c>
      <c r="D32" s="24" t="s">
        <v>20</v>
      </c>
      <c r="E32" s="24" t="s">
        <v>40</v>
      </c>
      <c r="F32" s="25" t="s">
        <v>41</v>
      </c>
      <c r="G32" s="26"/>
      <c r="H32" s="26"/>
      <c r="I32" s="26"/>
      <c r="J32" s="26"/>
      <c r="K32" s="26"/>
      <c r="L32" s="27"/>
    </row>
    <row r="33" spans="1:12">
      <c r="A33" s="28" t="s">
        <v>72</v>
      </c>
      <c r="B33" s="22">
        <v>109900</v>
      </c>
      <c r="C33" s="22">
        <f>+B33+2000</f>
        <v>111900</v>
      </c>
      <c r="D33" s="24" t="s">
        <v>20</v>
      </c>
      <c r="E33" s="24" t="s">
        <v>40</v>
      </c>
      <c r="F33" s="25" t="s">
        <v>41</v>
      </c>
      <c r="G33" s="26"/>
      <c r="H33" s="26"/>
      <c r="I33" s="26"/>
      <c r="J33" s="26"/>
      <c r="K33" s="26"/>
      <c r="L33" s="27"/>
    </row>
    <row r="34" spans="1:12">
      <c r="A34" s="28" t="s">
        <v>73</v>
      </c>
      <c r="B34" s="22">
        <v>109900</v>
      </c>
      <c r="C34" s="31">
        <f>+B34</f>
        <v>109900</v>
      </c>
      <c r="D34" s="24" t="s">
        <v>20</v>
      </c>
      <c r="E34" s="24" t="s">
        <v>17</v>
      </c>
      <c r="F34" s="25" t="s">
        <v>59</v>
      </c>
      <c r="G34" s="26"/>
      <c r="H34" s="26"/>
      <c r="I34" s="26"/>
      <c r="J34" s="26"/>
      <c r="K34" s="26"/>
      <c r="L34" s="27"/>
    </row>
  </sheetData>
  <mergeCells count="38">
    <mergeCell ref="F33:L33"/>
    <mergeCell ref="F34:L34"/>
    <mergeCell ref="F27:L27"/>
    <mergeCell ref="F28:L28"/>
    <mergeCell ref="F29:L29"/>
    <mergeCell ref="F30:L30"/>
    <mergeCell ref="F31:L31"/>
    <mergeCell ref="F32:L32"/>
    <mergeCell ref="F21:L21"/>
    <mergeCell ref="F22:L22"/>
    <mergeCell ref="F23:L23"/>
    <mergeCell ref="F24:L24"/>
    <mergeCell ref="F25:L25"/>
    <mergeCell ref="F26:L26"/>
    <mergeCell ref="F15:L15"/>
    <mergeCell ref="F16:L16"/>
    <mergeCell ref="F17:L17"/>
    <mergeCell ref="F18:L18"/>
    <mergeCell ref="F19:L19"/>
    <mergeCell ref="F20:L20"/>
    <mergeCell ref="F9:L9"/>
    <mergeCell ref="F10:L10"/>
    <mergeCell ref="F11:L11"/>
    <mergeCell ref="F12:L12"/>
    <mergeCell ref="F13:L13"/>
    <mergeCell ref="F14:L14"/>
    <mergeCell ref="F3:L3"/>
    <mergeCell ref="F4:L4"/>
    <mergeCell ref="F5:L5"/>
    <mergeCell ref="F6:L6"/>
    <mergeCell ref="F7:L7"/>
    <mergeCell ref="F8:L8"/>
    <mergeCell ref="A1:A2"/>
    <mergeCell ref="B1:B2"/>
    <mergeCell ref="C1:C2"/>
    <mergeCell ref="D1:D2"/>
    <mergeCell ref="E1:E2"/>
    <mergeCell ref="F1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08B8-7D01-4714-971B-F00DB889630C}">
  <dimension ref="A2:I15"/>
  <sheetViews>
    <sheetView tabSelected="1" workbookViewId="0">
      <selection activeCell="A16" sqref="A16"/>
    </sheetView>
  </sheetViews>
  <sheetFormatPr baseColWidth="10" defaultRowHeight="15"/>
  <cols>
    <col min="1" max="1" width="30.140625" bestFit="1" customWidth="1"/>
    <col min="2" max="2" width="24.7109375" bestFit="1" customWidth="1"/>
    <col min="3" max="3" width="12.5703125" bestFit="1" customWidth="1"/>
    <col min="4" max="4" width="36.140625" bestFit="1" customWidth="1"/>
    <col min="5" max="5" width="12.5703125" bestFit="1" customWidth="1"/>
  </cols>
  <sheetData>
    <row r="2" spans="1:9">
      <c r="A2" s="38"/>
      <c r="B2" s="38"/>
      <c r="C2" s="38" t="s">
        <v>74</v>
      </c>
      <c r="D2" s="38" t="s">
        <v>75</v>
      </c>
      <c r="E2" s="38"/>
      <c r="F2" s="38" t="s">
        <v>76</v>
      </c>
      <c r="G2" s="38"/>
      <c r="H2" s="38" t="s">
        <v>77</v>
      </c>
      <c r="I2" s="38"/>
    </row>
    <row r="3" spans="1:9">
      <c r="A3" s="38" t="s">
        <v>78</v>
      </c>
      <c r="B3" s="38"/>
      <c r="C3" s="38"/>
      <c r="D3" s="38" t="s">
        <v>79</v>
      </c>
      <c r="E3" s="38" t="s">
        <v>80</v>
      </c>
      <c r="F3" s="38" t="s">
        <v>79</v>
      </c>
      <c r="G3" s="38" t="s">
        <v>80</v>
      </c>
      <c r="H3" s="38" t="s">
        <v>79</v>
      </c>
      <c r="I3" s="38" t="s">
        <v>80</v>
      </c>
    </row>
    <row r="4" spans="1:9">
      <c r="A4" s="38" t="s">
        <v>81</v>
      </c>
      <c r="B4" s="38" t="s">
        <v>97</v>
      </c>
      <c r="C4" s="39">
        <v>39900</v>
      </c>
      <c r="D4" s="38" t="s">
        <v>82</v>
      </c>
      <c r="E4" s="39">
        <v>40425</v>
      </c>
      <c r="F4" s="38"/>
      <c r="G4" s="38"/>
      <c r="H4" s="38"/>
      <c r="I4" s="38"/>
    </row>
    <row r="5" spans="1:9">
      <c r="A5" s="38" t="s">
        <v>83</v>
      </c>
      <c r="B5" s="38" t="s">
        <v>98</v>
      </c>
      <c r="C5" s="39">
        <v>43900</v>
      </c>
      <c r="D5" s="38" t="s">
        <v>84</v>
      </c>
      <c r="E5" s="39">
        <v>43120</v>
      </c>
      <c r="F5" s="38"/>
      <c r="G5" s="38"/>
      <c r="H5" s="38"/>
      <c r="I5" s="38"/>
    </row>
    <row r="6" spans="1:9">
      <c r="A6" s="38" t="s">
        <v>85</v>
      </c>
      <c r="B6" s="38" t="s">
        <v>99</v>
      </c>
      <c r="C6" s="39">
        <v>47900</v>
      </c>
      <c r="D6" s="38" t="s">
        <v>86</v>
      </c>
      <c r="E6" s="39">
        <v>45815</v>
      </c>
      <c r="F6" s="38"/>
      <c r="G6" s="38"/>
      <c r="H6" s="38"/>
      <c r="I6" s="38"/>
    </row>
    <row r="7" spans="1:9">
      <c r="A7" s="38" t="s">
        <v>87</v>
      </c>
      <c r="B7" s="38" t="s">
        <v>100</v>
      </c>
      <c r="C7" s="39">
        <v>53900</v>
      </c>
      <c r="D7" s="40">
        <v>0.05</v>
      </c>
      <c r="E7" s="39">
        <v>51205</v>
      </c>
      <c r="F7" s="40">
        <v>0.1</v>
      </c>
      <c r="G7" s="39">
        <v>48510</v>
      </c>
      <c r="H7" s="40">
        <v>0.15</v>
      </c>
      <c r="I7" s="39">
        <v>45815</v>
      </c>
    </row>
    <row r="8" spans="1:9">
      <c r="A8" s="38" t="s">
        <v>88</v>
      </c>
      <c r="B8" s="38" t="s">
        <v>98</v>
      </c>
      <c r="C8" s="39">
        <v>53900</v>
      </c>
      <c r="D8" s="38" t="s">
        <v>89</v>
      </c>
      <c r="E8" s="39">
        <v>53900</v>
      </c>
      <c r="F8" s="40">
        <v>0.1</v>
      </c>
      <c r="G8" s="39">
        <v>48510</v>
      </c>
      <c r="H8" s="40">
        <v>0.15</v>
      </c>
      <c r="I8" s="39">
        <v>45815</v>
      </c>
    </row>
    <row r="9" spans="1:9">
      <c r="A9" s="38" t="s">
        <v>90</v>
      </c>
      <c r="B9" s="38" t="s">
        <v>101</v>
      </c>
      <c r="C9" s="39">
        <v>63900</v>
      </c>
      <c r="D9" s="40">
        <v>0.05</v>
      </c>
      <c r="E9" s="39">
        <v>60705</v>
      </c>
      <c r="F9" s="40">
        <v>0.1</v>
      </c>
      <c r="G9" s="39">
        <v>57510</v>
      </c>
      <c r="H9" s="40">
        <v>0.15</v>
      </c>
      <c r="I9" s="39">
        <v>54315</v>
      </c>
    </row>
    <row r="10" spans="1:9">
      <c r="A10" s="38" t="s">
        <v>91</v>
      </c>
      <c r="B10" s="38" t="s">
        <v>100</v>
      </c>
      <c r="C10" s="39">
        <v>69900</v>
      </c>
      <c r="D10" s="40">
        <v>0.05</v>
      </c>
      <c r="E10" s="39">
        <v>66405</v>
      </c>
      <c r="F10" s="40">
        <v>0.1</v>
      </c>
      <c r="G10" s="39">
        <v>62910</v>
      </c>
      <c r="H10" s="40">
        <v>0.15</v>
      </c>
      <c r="I10" s="39">
        <v>59415</v>
      </c>
    </row>
    <row r="11" spans="1:9">
      <c r="A11" s="38" t="s">
        <v>92</v>
      </c>
      <c r="B11" s="38" t="s">
        <v>102</v>
      </c>
      <c r="C11" s="39">
        <v>79900</v>
      </c>
      <c r="D11" s="40"/>
      <c r="E11" s="39"/>
      <c r="F11" s="40"/>
      <c r="G11" s="39"/>
      <c r="H11" s="40"/>
      <c r="I11" s="39"/>
    </row>
    <row r="12" spans="1:9">
      <c r="A12" s="38" t="s">
        <v>93</v>
      </c>
      <c r="B12" s="38" t="s">
        <v>102</v>
      </c>
      <c r="C12" s="39">
        <v>89900</v>
      </c>
      <c r="D12" s="40">
        <v>0.05</v>
      </c>
      <c r="E12" s="39">
        <v>85405</v>
      </c>
      <c r="F12" s="40">
        <v>0.1</v>
      </c>
      <c r="G12" s="39">
        <v>80910</v>
      </c>
      <c r="H12" s="40">
        <v>0.15</v>
      </c>
      <c r="I12" s="39">
        <v>76415</v>
      </c>
    </row>
    <row r="13" spans="1:9">
      <c r="A13" s="38" t="s">
        <v>94</v>
      </c>
      <c r="B13" s="38" t="s">
        <v>103</v>
      </c>
      <c r="C13" s="39">
        <v>93900</v>
      </c>
      <c r="D13" s="40">
        <v>0.05</v>
      </c>
      <c r="E13" s="39">
        <v>89205</v>
      </c>
      <c r="F13" s="40">
        <v>0.1</v>
      </c>
      <c r="G13" s="39">
        <v>84510</v>
      </c>
      <c r="H13" s="40">
        <v>0.15</v>
      </c>
      <c r="I13" s="39">
        <v>79815</v>
      </c>
    </row>
    <row r="14" spans="1:9">
      <c r="A14" s="38" t="s">
        <v>95</v>
      </c>
      <c r="B14" s="38" t="s">
        <v>104</v>
      </c>
      <c r="C14" s="39">
        <v>103900</v>
      </c>
      <c r="D14" s="40">
        <v>0.05</v>
      </c>
      <c r="E14" s="39">
        <v>98705</v>
      </c>
      <c r="F14" s="40">
        <v>0.1</v>
      </c>
      <c r="G14" s="39">
        <v>93510</v>
      </c>
      <c r="H14" s="40">
        <v>0.15</v>
      </c>
      <c r="I14" s="39">
        <v>88315</v>
      </c>
    </row>
    <row r="15" spans="1:9">
      <c r="A15" s="38" t="s">
        <v>96</v>
      </c>
      <c r="B15" s="38" t="s">
        <v>100</v>
      </c>
      <c r="C15" s="39">
        <v>109900</v>
      </c>
      <c r="D15" s="40">
        <v>0.05</v>
      </c>
      <c r="E15" s="39">
        <v>104405</v>
      </c>
      <c r="F15" s="40">
        <v>0.1</v>
      </c>
      <c r="G15" s="39">
        <v>98910</v>
      </c>
      <c r="H15" s="40">
        <v>0.15</v>
      </c>
      <c r="I15" s="39">
        <v>93415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oferta full</vt:lpstr>
      <vt:lpstr>reventa</vt:lpstr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JCBotero@compucomsas.loc</dc:creator>
  <cp:lastModifiedBy>JCBotero@compucomsas.loc</cp:lastModifiedBy>
  <dcterms:created xsi:type="dcterms:W3CDTF">2026-02-06T14:05:10Z</dcterms:created>
  <dcterms:modified xsi:type="dcterms:W3CDTF">2026-02-06T14:11:39Z</dcterms:modified>
</cp:coreProperties>
</file>